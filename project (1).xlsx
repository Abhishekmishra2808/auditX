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his\Desktop\AANYA GOYAL\"/>
    </mc:Choice>
  </mc:AlternateContent>
  <xr:revisionPtr revIDLastSave="0" documentId="13_ncr:1_{E66E161D-7819-4CEC-868C-7B4B374808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ule III P&amp;L Forma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C6" i="1"/>
  <c r="C15" i="1"/>
  <c r="C16" i="1"/>
  <c r="C18" i="1"/>
  <c r="C20" i="1"/>
  <c r="C22" i="1"/>
  <c r="D6" i="1"/>
  <c r="D15" i="1"/>
  <c r="D16" i="1"/>
  <c r="D18" i="1"/>
  <c r="D20" i="1"/>
  <c r="D22" i="1"/>
  <c r="C71" i="1"/>
  <c r="C50" i="1"/>
  <c r="B71" i="1"/>
  <c r="B50" i="1"/>
  <c r="C63" i="1"/>
  <c r="C72" i="1"/>
  <c r="B63" i="1"/>
  <c r="B72" i="1"/>
  <c r="C44" i="1"/>
  <c r="C51" i="1"/>
  <c r="B44" i="1"/>
</calcChain>
</file>

<file path=xl/sharedStrings.xml><?xml version="1.0" encoding="utf-8"?>
<sst xmlns="http://schemas.openxmlformats.org/spreadsheetml/2006/main" count="63" uniqueCount="63">
  <si>
    <t>Statement of Profit and Loss for the Year Ended ________ (As per Schedule III of Companies Act, 2013)</t>
  </si>
  <si>
    <t>Particulars</t>
  </si>
  <si>
    <t>Note No.</t>
  </si>
  <si>
    <t>I. Revenue from Operations</t>
  </si>
  <si>
    <t>II. Other Income</t>
  </si>
  <si>
    <t>III. Total Income (I + II)</t>
  </si>
  <si>
    <t>IV. Expenses:</t>
  </si>
  <si>
    <t>Purchases of Stock-in-Trade</t>
  </si>
  <si>
    <t>Changes in Inventories of Finished Goods, Work-in-Progress and Stock-in-Trade</t>
  </si>
  <si>
    <t>Employee Benefits Expense</t>
  </si>
  <si>
    <t>Finance Costs</t>
  </si>
  <si>
    <t>Depreciation and Amortization Expense</t>
  </si>
  <si>
    <t>Other Expenses</t>
  </si>
  <si>
    <t>Total Expenses</t>
  </si>
  <si>
    <t>V. Profit Before Exceptional and Extraordinary Items and Tax (III - IV)</t>
  </si>
  <si>
    <t>Exceptional Items</t>
  </si>
  <si>
    <t>VI. Profit Before Extraordinary Items and Tax (V - Exceptional Items)</t>
  </si>
  <si>
    <t>Extraordinary Items</t>
  </si>
  <si>
    <t>VII. Profit Before Tax (VI - Extraordinary Items)</t>
  </si>
  <si>
    <t>VIII. Tax Expense:</t>
  </si>
  <si>
    <t>IX. Profit (Loss) for the Period from Continuing Operations (VII - VIII)</t>
  </si>
  <si>
    <t xml:space="preserve">Cost of Materials Consumed/cost of materials purchased </t>
  </si>
  <si>
    <t>BALANCE SHEET</t>
  </si>
  <si>
    <t>(As per Schedule III of Companies Act, 2013)</t>
  </si>
  <si>
    <t>I. EQUITY AND LIABILITIES</t>
  </si>
  <si>
    <t>1. Shareholders’ Funds</t>
  </si>
  <si>
    <t xml:space="preserve">   b) Reserves and Surplus</t>
  </si>
  <si>
    <t xml:space="preserve">   c) Money received against Share Warrants</t>
  </si>
  <si>
    <t>2. Share Application Money Pending Allotment</t>
  </si>
  <si>
    <t>3. Non-Current Liabilities</t>
  </si>
  <si>
    <t xml:space="preserve">   a) Long-term Borrowings</t>
  </si>
  <si>
    <t xml:space="preserve">   b) Deferred Tax Liabilities (Net)</t>
  </si>
  <si>
    <t xml:space="preserve">   c) Other Long-term Liabilities</t>
  </si>
  <si>
    <t xml:space="preserve">   d) Long-term Provisions</t>
  </si>
  <si>
    <t>4. Current Liabilities</t>
  </si>
  <si>
    <t xml:space="preserve">   a) Short-term Borrowings</t>
  </si>
  <si>
    <t xml:space="preserve">   b) Trade Payables</t>
  </si>
  <si>
    <t xml:space="preserve">   c) Other Current Liabilities</t>
  </si>
  <si>
    <t xml:space="preserve">   d) Short-term Provisions</t>
  </si>
  <si>
    <t xml:space="preserve">Total Liabilities </t>
  </si>
  <si>
    <t>II. ASSETS</t>
  </si>
  <si>
    <t>1. Non-Current Assets</t>
  </si>
  <si>
    <t xml:space="preserve">   A) Property, Plant and Equipment</t>
  </si>
  <si>
    <t xml:space="preserve">      i) Tangible Assets</t>
  </si>
  <si>
    <t xml:space="preserve">      ii) Intangible Assets</t>
  </si>
  <si>
    <t xml:space="preserve">      iii) Capital Work-in-Progress</t>
  </si>
  <si>
    <t xml:space="preserve">      iv) Intangible Assets under Development</t>
  </si>
  <si>
    <t xml:space="preserve">   B) Non-Current Investments</t>
  </si>
  <si>
    <t xml:space="preserve">   C) Deferred Tax Assets (Net)</t>
  </si>
  <si>
    <t xml:space="preserve">   D) Long-term Loans and Advances</t>
  </si>
  <si>
    <t xml:space="preserve">   E) Other Non-Current Assets</t>
  </si>
  <si>
    <t>2. Current Assets</t>
  </si>
  <si>
    <t xml:space="preserve">   a) Current Investments</t>
  </si>
  <si>
    <t xml:space="preserve">   b) Inventories</t>
  </si>
  <si>
    <t xml:space="preserve">   c) Trade Receivables</t>
  </si>
  <si>
    <t xml:space="preserve">   d) Cash and Cash Equivalents</t>
  </si>
  <si>
    <t xml:space="preserve">   e) Short-term Loans and Advances</t>
  </si>
  <si>
    <t xml:space="preserve">   f) Other Current Assets</t>
  </si>
  <si>
    <t xml:space="preserve">Total Assets </t>
  </si>
  <si>
    <t xml:space="preserve">Total current Liabilities </t>
  </si>
  <si>
    <t xml:space="preserve">Total Non current Liabilities </t>
  </si>
  <si>
    <t xml:space="preserve">Total Non current Assets </t>
  </si>
  <si>
    <t xml:space="preserve">Total current Assets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</si>
</sst>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3" fontId="1" fillId="0" borderId="1" xfId="0" applyNumberFormat="1" applyFont="1" applyBorder="1"/>
    <xf numFmtId="0" fontId="1" fillId="2" borderId="1" xfId="0" applyFont="1" applyFill="1" applyBorder="1"/>
    <xf numFmtId="3" fontId="1" fillId="2" borderId="1" xfId="0" applyNumberFormat="1" applyFont="1" applyFill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/>
    <xf numFmtId="3" fontId="1" fillId="3" borderId="1" xfId="0" applyNumberFormat="1" applyFont="1" applyFill="1" applyBorder="1"/>
    <xf numFmtId="3" fontId="1" fillId="4" borderId="1" xfId="0" applyNumberFormat="1" applyFont="1" applyFill="1" applyBorder="1"/>
    <xf numFmtId="0" fontId="1" fillId="5" borderId="1" xfId="0" applyFont="1" applyFill="1" applyBorder="1"/>
    <xf numFmtId="3" fontId="1" fillId="5" borderId="1" xfId="0" applyNumberFormat="1" applyFont="1" applyFill="1" applyBorder="1"/>
    <xf numFmtId="0" fontId="1" fillId="6" borderId="1" xfId="0" applyFont="1" applyFill="1" applyBorder="1"/>
    <xf numFmtId="3" fontId="1" fillId="6" borderId="1" xfId="0" applyNumberFormat="1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3" fontId="0" fillId="0" borderId="1" xfId="0" applyNumberFormat="1" applyBorder="1"/>
    <xf numFmtId="0" fontId="0" fillId="0" borderId="0" xfId="0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zoomScale="81" workbookViewId="0">
      <selection activeCell="D51" sqref="D51"/>
    </sheetView>
  </sheetViews>
  <sheetFormatPr defaultRowHeight="14.4" x14ac:dyDescent="0.3"/>
  <cols>
    <col min="1" max="1" width="70" customWidth="1"/>
    <col min="2" max="2" width="24.21875" customWidth="1"/>
    <col min="3" max="3" width="26.6640625" customWidth="1"/>
    <col min="4" max="4" width="18" customWidth="1"/>
    <col min="7" max="7" width="24.44140625" customWidth="1"/>
    <col min="8" max="8" width="9.44140625" bestFit="1" customWidth="1"/>
    <col min="9" max="9" width="9.6640625" bestFit="1" customWidth="1"/>
  </cols>
  <sheetData>
    <row r="1" spans="1:4" x14ac:dyDescent="0.3">
      <c r="A1" s="21" t="s">
        <v>0</v>
      </c>
      <c r="B1" s="21"/>
      <c r="C1" s="21"/>
      <c r="D1" s="21"/>
    </row>
    <row r="3" spans="1:4" x14ac:dyDescent="0.3">
      <c r="A3" s="1" t="s">
        <v>1</v>
      </c>
      <c r="B3" s="1" t="s">
        <v>2</v>
      </c>
      <c r="C3" s="2">
        <v>45747</v>
      </c>
      <c r="D3" s="2">
        <v>46112</v>
      </c>
    </row>
    <row r="4" spans="1:4" x14ac:dyDescent="0.3">
      <c r="A4" s="1" t="s">
        <v>3</v>
      </c>
      <c r="B4" s="1"/>
      <c r="C4" s="3">
        <v>2500000</v>
      </c>
      <c r="D4" s="3">
        <v>2400000</v>
      </c>
    </row>
    <row r="5" spans="1:4" x14ac:dyDescent="0.3">
      <c r="A5" s="1" t="s">
        <v>4</v>
      </c>
      <c r="B5" s="1"/>
      <c r="C5" s="3">
        <v>200000</v>
      </c>
      <c r="D5" s="3">
        <v>150000</v>
      </c>
    </row>
    <row r="6" spans="1:4" x14ac:dyDescent="0.3">
      <c r="A6" s="1" t="s">
        <v>5</v>
      </c>
      <c r="B6" s="1"/>
      <c r="C6" s="3">
        <f>SUM(C4:C5)</f>
        <v>2700000</v>
      </c>
      <c r="D6" s="3">
        <f>SUM(D4:D5)</f>
        <v>2550000</v>
      </c>
    </row>
    <row r="7" spans="1:4" x14ac:dyDescent="0.3">
      <c r="A7" s="1" t="s">
        <v>6</v>
      </c>
      <c r="B7" s="1"/>
      <c r="C7" s="1"/>
      <c r="D7" s="1"/>
    </row>
    <row r="8" spans="1:4" x14ac:dyDescent="0.3">
      <c r="A8" s="1" t="s">
        <v>21</v>
      </c>
      <c r="B8" s="1"/>
      <c r="C8" s="3">
        <v>1200000</v>
      </c>
      <c r="D8" s="3">
        <v>1300000</v>
      </c>
    </row>
    <row r="9" spans="1:4" x14ac:dyDescent="0.3">
      <c r="A9" s="1" t="s">
        <v>7</v>
      </c>
      <c r="B9" s="1"/>
      <c r="C9" s="1">
        <v>0</v>
      </c>
      <c r="D9" s="1">
        <v>0</v>
      </c>
    </row>
    <row r="10" spans="1:4" x14ac:dyDescent="0.3">
      <c r="A10" s="1" t="s">
        <v>8</v>
      </c>
      <c r="B10" s="1"/>
      <c r="C10" s="3">
        <v>-100000</v>
      </c>
      <c r="D10" s="3">
        <v>50000</v>
      </c>
    </row>
    <row r="11" spans="1:4" x14ac:dyDescent="0.3">
      <c r="A11" s="1" t="s">
        <v>9</v>
      </c>
      <c r="B11" s="1"/>
      <c r="C11" s="3">
        <v>400000</v>
      </c>
      <c r="D11" s="3">
        <v>450000</v>
      </c>
    </row>
    <row r="12" spans="1:4" x14ac:dyDescent="0.3">
      <c r="A12" s="1" t="s">
        <v>10</v>
      </c>
      <c r="B12" s="1"/>
      <c r="C12" s="3">
        <v>200000</v>
      </c>
      <c r="D12" s="3">
        <v>250000</v>
      </c>
    </row>
    <row r="13" spans="1:4" x14ac:dyDescent="0.3">
      <c r="A13" s="1" t="s">
        <v>11</v>
      </c>
      <c r="B13" s="1"/>
      <c r="C13" s="3">
        <v>300000</v>
      </c>
      <c r="D13" s="3">
        <v>350000</v>
      </c>
    </row>
    <row r="14" spans="1:4" x14ac:dyDescent="0.3">
      <c r="A14" s="1" t="s">
        <v>12</v>
      </c>
      <c r="B14" s="1"/>
      <c r="C14" s="3">
        <v>400000</v>
      </c>
      <c r="D14" s="3">
        <v>250000</v>
      </c>
    </row>
    <row r="15" spans="1:4" x14ac:dyDescent="0.3">
      <c r="A15" s="1" t="s">
        <v>13</v>
      </c>
      <c r="B15" s="1"/>
      <c r="C15" s="3">
        <f>SUM(C8:C14)</f>
        <v>2400000</v>
      </c>
      <c r="D15" s="3">
        <f>SUM(D8:D14)</f>
        <v>2650000</v>
      </c>
    </row>
    <row r="16" spans="1:4" x14ac:dyDescent="0.3">
      <c r="A16" s="1" t="s">
        <v>14</v>
      </c>
      <c r="B16" s="1"/>
      <c r="C16" s="3">
        <f>C6-C15</f>
        <v>300000</v>
      </c>
      <c r="D16" s="3">
        <f>D6-D15</f>
        <v>-100000</v>
      </c>
    </row>
    <row r="17" spans="1:4" x14ac:dyDescent="0.3">
      <c r="A17" s="1" t="s">
        <v>15</v>
      </c>
      <c r="B17" s="1"/>
      <c r="C17" s="1">
        <v>0</v>
      </c>
      <c r="D17" s="1">
        <v>0</v>
      </c>
    </row>
    <row r="18" spans="1:4" x14ac:dyDescent="0.3">
      <c r="A18" s="1" t="s">
        <v>16</v>
      </c>
      <c r="B18" s="1"/>
      <c r="C18" s="3">
        <f>C16-C17</f>
        <v>300000</v>
      </c>
      <c r="D18" s="3">
        <f>D16-D17</f>
        <v>-100000</v>
      </c>
    </row>
    <row r="19" spans="1:4" x14ac:dyDescent="0.3">
      <c r="A19" s="1" t="s">
        <v>17</v>
      </c>
      <c r="B19" s="1"/>
      <c r="C19" s="1">
        <v>0</v>
      </c>
      <c r="D19" s="1">
        <v>0</v>
      </c>
    </row>
    <row r="20" spans="1:4" x14ac:dyDescent="0.3">
      <c r="A20" s="1" t="s">
        <v>18</v>
      </c>
      <c r="B20" s="1"/>
      <c r="C20" s="3">
        <f>C18-C19</f>
        <v>300000</v>
      </c>
      <c r="D20" s="3">
        <f>D18-D19</f>
        <v>-100000</v>
      </c>
    </row>
    <row r="21" spans="1:4" x14ac:dyDescent="0.3">
      <c r="A21" s="1" t="s">
        <v>19</v>
      </c>
      <c r="B21" s="1"/>
      <c r="C21" s="3">
        <v>100000</v>
      </c>
      <c r="D21" s="1">
        <v>50000</v>
      </c>
    </row>
    <row r="22" spans="1:4" x14ac:dyDescent="0.3">
      <c r="A22" s="1" t="s">
        <v>20</v>
      </c>
      <c r="B22" s="1"/>
      <c r="C22" s="3">
        <f>C20-C21</f>
        <v>200000</v>
      </c>
      <c r="D22" s="3">
        <f>D20-D21</f>
        <v>-150000</v>
      </c>
    </row>
    <row r="28" spans="1:4" x14ac:dyDescent="0.3">
      <c r="A28" s="6" t="s">
        <v>22</v>
      </c>
      <c r="B28" s="6"/>
      <c r="C28" s="6"/>
    </row>
    <row r="29" spans="1:4" x14ac:dyDescent="0.3">
      <c r="A29" s="6" t="s">
        <v>23</v>
      </c>
      <c r="B29" s="6"/>
      <c r="C29" s="6"/>
    </row>
    <row r="30" spans="1:4" x14ac:dyDescent="0.3">
      <c r="A30" s="6"/>
      <c r="B30" s="6"/>
      <c r="C30" s="6"/>
    </row>
    <row r="31" spans="1:4" x14ac:dyDescent="0.3">
      <c r="A31" s="1" t="s">
        <v>24</v>
      </c>
      <c r="B31" s="2">
        <v>45747</v>
      </c>
      <c r="C31" s="2">
        <v>46112</v>
      </c>
    </row>
    <row r="32" spans="1:4" x14ac:dyDescent="0.3">
      <c r="A32" s="1" t="s">
        <v>25</v>
      </c>
      <c r="B32" s="1"/>
      <c r="C32" s="1"/>
    </row>
    <row r="33" spans="1:3" x14ac:dyDescent="0.3">
      <c r="A33" s="1"/>
    </row>
    <row r="34" spans="1:3" x14ac:dyDescent="0.3">
      <c r="A34" s="1" t="s">
        <v>26</v>
      </c>
      <c r="B34" s="3">
        <v>1000000</v>
      </c>
      <c r="C34" s="3">
        <v>1000000</v>
      </c>
    </row>
    <row r="35" spans="1:3" x14ac:dyDescent="0.3">
      <c r="A35" s="1" t="s">
        <v>27</v>
      </c>
      <c r="B35" s="3">
        <v>550000</v>
      </c>
      <c r="C35" s="3">
        <v>400000</v>
      </c>
    </row>
    <row r="36" spans="1:3" x14ac:dyDescent="0.3">
      <c r="A36" s="1"/>
      <c r="B36" s="1"/>
      <c r="C36" s="1"/>
    </row>
    <row r="37" spans="1:3" x14ac:dyDescent="0.3">
      <c r="A37" s="1" t="s">
        <v>28</v>
      </c>
      <c r="B37" s="1">
        <v>0</v>
      </c>
      <c r="C37" s="1">
        <v>0</v>
      </c>
    </row>
    <row r="38" spans="1:3" x14ac:dyDescent="0.3">
      <c r="A38" s="1"/>
      <c r="B38" s="1"/>
      <c r="C38" s="1"/>
    </row>
    <row r="39" spans="1:3" x14ac:dyDescent="0.3">
      <c r="A39" s="1" t="s">
        <v>29</v>
      </c>
      <c r="B39" s="3"/>
      <c r="C39" s="3"/>
    </row>
    <row r="40" spans="1:3" x14ac:dyDescent="0.3">
      <c r="A40" s="1" t="s">
        <v>30</v>
      </c>
      <c r="B40" s="3">
        <v>1600000</v>
      </c>
      <c r="C40" s="3">
        <v>1100000</v>
      </c>
    </row>
    <row r="41" spans="1:3" x14ac:dyDescent="0.3">
      <c r="A41" s="1" t="s">
        <v>31</v>
      </c>
      <c r="B41" s="3">
        <v>500000</v>
      </c>
      <c r="C41" s="3">
        <v>300000</v>
      </c>
    </row>
    <row r="42" spans="1:3" x14ac:dyDescent="0.3">
      <c r="A42" s="1" t="s">
        <v>32</v>
      </c>
      <c r="B42" s="3">
        <v>800000</v>
      </c>
      <c r="C42" s="3">
        <v>600000</v>
      </c>
    </row>
    <row r="43" spans="1:3" x14ac:dyDescent="0.3">
      <c r="A43" s="1" t="s">
        <v>33</v>
      </c>
      <c r="B43" s="3">
        <v>1500000</v>
      </c>
      <c r="C43" s="3">
        <v>1600000</v>
      </c>
    </row>
    <row r="44" spans="1:3" x14ac:dyDescent="0.3">
      <c r="A44" s="8" t="s">
        <v>60</v>
      </c>
      <c r="B44" s="10">
        <f>SUM(B39:B43)</f>
        <v>4400000</v>
      </c>
      <c r="C44" s="10">
        <f>SUM(C40:C43)</f>
        <v>3600000</v>
      </c>
    </row>
    <row r="45" spans="1:3" x14ac:dyDescent="0.3">
      <c r="A45" s="1" t="s">
        <v>34</v>
      </c>
      <c r="B45" s="1"/>
      <c r="C45" s="1"/>
    </row>
    <row r="46" spans="1:3" x14ac:dyDescent="0.3">
      <c r="A46" s="1" t="s">
        <v>35</v>
      </c>
      <c r="B46" s="3">
        <v>400000</v>
      </c>
      <c r="C46" s="3">
        <v>700000</v>
      </c>
    </row>
    <row r="47" spans="1:3" x14ac:dyDescent="0.3">
      <c r="A47" s="1" t="s">
        <v>36</v>
      </c>
      <c r="B47" s="3">
        <v>800000</v>
      </c>
      <c r="C47" s="3">
        <v>900000</v>
      </c>
    </row>
    <row r="48" spans="1:3" x14ac:dyDescent="0.3">
      <c r="A48" s="1" t="s">
        <v>37</v>
      </c>
      <c r="B48" s="3">
        <v>1000000</v>
      </c>
      <c r="C48" s="3">
        <v>900000</v>
      </c>
    </row>
    <row r="49" spans="1:3" x14ac:dyDescent="0.3">
      <c r="A49" s="1" t="s">
        <v>38</v>
      </c>
      <c r="B49" s="3">
        <v>3590000</v>
      </c>
      <c r="C49" s="3">
        <v>6490000</v>
      </c>
    </row>
    <row r="50" spans="1:3" x14ac:dyDescent="0.3">
      <c r="A50" s="9" t="s">
        <v>59</v>
      </c>
      <c r="B50" s="11">
        <f>SUM(B46:B49)</f>
        <v>5790000</v>
      </c>
      <c r="C50" s="11">
        <f>SUM(C46:C49)</f>
        <v>8990000</v>
      </c>
    </row>
    <row r="51" spans="1:3" x14ac:dyDescent="0.3">
      <c r="A51" s="4" t="s">
        <v>39</v>
      </c>
      <c r="B51" s="5">
        <f>SUM(B44+B50+B34+B37)</f>
        <v>11190000</v>
      </c>
      <c r="C51" s="5">
        <f>SUM(C34+C35+C44+C50)</f>
        <v>13990000</v>
      </c>
    </row>
    <row r="52" spans="1:3" x14ac:dyDescent="0.3">
      <c r="A52" s="1" t="s">
        <v>40</v>
      </c>
      <c r="B52" s="1"/>
      <c r="C52" s="1"/>
    </row>
    <row r="53" spans="1:3" x14ac:dyDescent="0.3">
      <c r="A53" s="1" t="s">
        <v>41</v>
      </c>
      <c r="B53" s="1"/>
      <c r="C53" s="1"/>
    </row>
    <row r="54" spans="1:3" x14ac:dyDescent="0.3">
      <c r="A54" s="1" t="s">
        <v>42</v>
      </c>
      <c r="B54" s="3">
        <v>1000000</v>
      </c>
      <c r="C54" s="3">
        <v>1500000</v>
      </c>
    </row>
    <row r="55" spans="1:3" x14ac:dyDescent="0.3">
      <c r="A55" s="1" t="s">
        <v>43</v>
      </c>
      <c r="B55" s="3">
        <v>800000</v>
      </c>
      <c r="C55" s="3">
        <v>600000</v>
      </c>
    </row>
    <row r="56" spans="1:3" x14ac:dyDescent="0.3">
      <c r="A56" s="1" t="s">
        <v>44</v>
      </c>
      <c r="B56" s="3">
        <v>700000</v>
      </c>
      <c r="C56" s="3">
        <v>700000</v>
      </c>
    </row>
    <row r="57" spans="1:3" x14ac:dyDescent="0.3">
      <c r="A57" s="1" t="s">
        <v>45</v>
      </c>
      <c r="B57" s="3">
        <v>100000</v>
      </c>
      <c r="C57" s="3">
        <v>200000</v>
      </c>
    </row>
    <row r="58" spans="1:3" x14ac:dyDescent="0.3">
      <c r="A58" s="1" t="s">
        <v>46</v>
      </c>
      <c r="B58" s="3">
        <v>200000</v>
      </c>
      <c r="C58" s="3">
        <v>200000</v>
      </c>
    </row>
    <row r="59" spans="1:3" x14ac:dyDescent="0.3">
      <c r="A59" s="1" t="s">
        <v>47</v>
      </c>
      <c r="B59" s="3">
        <v>1000000</v>
      </c>
      <c r="C59" s="3">
        <v>1600000</v>
      </c>
    </row>
    <row r="60" spans="1:3" x14ac:dyDescent="0.3">
      <c r="A60" s="1" t="s">
        <v>48</v>
      </c>
      <c r="B60" s="3">
        <v>90000</v>
      </c>
      <c r="C60" s="3">
        <v>90000</v>
      </c>
    </row>
    <row r="61" spans="1:3" x14ac:dyDescent="0.3">
      <c r="A61" s="1" t="s">
        <v>49</v>
      </c>
      <c r="B61" s="3">
        <v>450000</v>
      </c>
      <c r="C61" s="3">
        <v>700000</v>
      </c>
    </row>
    <row r="62" spans="1:3" x14ac:dyDescent="0.3">
      <c r="A62" s="1" t="s">
        <v>50</v>
      </c>
      <c r="B62" s="3">
        <v>500000</v>
      </c>
      <c r="C62" s="3">
        <v>900000</v>
      </c>
    </row>
    <row r="63" spans="1:3" x14ac:dyDescent="0.3">
      <c r="A63" s="14" t="s">
        <v>61</v>
      </c>
      <c r="B63" s="15">
        <f>SUM(B54:B62)</f>
        <v>4840000</v>
      </c>
      <c r="C63" s="15">
        <f>SUM(C54:C62)</f>
        <v>6490000</v>
      </c>
    </row>
    <row r="64" spans="1:3" x14ac:dyDescent="0.3">
      <c r="A64" s="1" t="s">
        <v>51</v>
      </c>
      <c r="B64" s="1"/>
      <c r="C64" s="1"/>
    </row>
    <row r="65" spans="1:5" x14ac:dyDescent="0.3">
      <c r="A65" s="1" t="s">
        <v>52</v>
      </c>
      <c r="B65" s="3">
        <v>1200000</v>
      </c>
      <c r="C65" s="3">
        <v>2000000</v>
      </c>
    </row>
    <row r="66" spans="1:5" x14ac:dyDescent="0.3">
      <c r="A66" s="1" t="s">
        <v>53</v>
      </c>
      <c r="B66" s="3">
        <v>1700000</v>
      </c>
      <c r="C66" s="3">
        <v>1200000</v>
      </c>
    </row>
    <row r="67" spans="1:5" x14ac:dyDescent="0.3">
      <c r="A67" s="1" t="s">
        <v>54</v>
      </c>
      <c r="B67" s="3">
        <v>500000</v>
      </c>
      <c r="C67" s="3">
        <v>400000</v>
      </c>
    </row>
    <row r="68" spans="1:5" x14ac:dyDescent="0.3">
      <c r="A68" s="1" t="s">
        <v>55</v>
      </c>
      <c r="B68" s="3">
        <v>2100000</v>
      </c>
      <c r="C68" s="3">
        <v>2400000</v>
      </c>
    </row>
    <row r="69" spans="1:5" x14ac:dyDescent="0.3">
      <c r="A69" s="1" t="s">
        <v>56</v>
      </c>
      <c r="B69" s="3">
        <v>800000</v>
      </c>
      <c r="C69" s="3">
        <v>700000</v>
      </c>
    </row>
    <row r="70" spans="1:5" x14ac:dyDescent="0.3">
      <c r="A70" s="1" t="s">
        <v>57</v>
      </c>
      <c r="B70" s="3">
        <v>600000</v>
      </c>
      <c r="C70" s="3">
        <v>800000</v>
      </c>
    </row>
    <row r="71" spans="1:5" x14ac:dyDescent="0.3">
      <c r="A71" s="12" t="s">
        <v>62</v>
      </c>
      <c r="B71" s="13">
        <f>SUM(B65:B70)</f>
        <v>6900000</v>
      </c>
      <c r="C71" s="13">
        <f>SUM(C65:C70)</f>
        <v>7500000</v>
      </c>
    </row>
    <row r="72" spans="1:5" x14ac:dyDescent="0.3">
      <c r="A72" s="4" t="s">
        <v>58</v>
      </c>
      <c r="B72" s="5">
        <f>SUM(B63+B71)</f>
        <v>11740000</v>
      </c>
      <c r="C72" s="5">
        <f>SUM(C63+C71)</f>
        <v>13990000</v>
      </c>
    </row>
    <row r="77" spans="1:5" ht="25.8" x14ac:dyDescent="0.5">
      <c r="A77" s="22"/>
      <c r="B77" s="22"/>
      <c r="C77" s="22"/>
      <c r="D77" s="19"/>
      <c r="E77" s="19"/>
    </row>
    <row r="78" spans="1:5" ht="21" x14ac:dyDescent="0.4">
      <c r="A78" s="17"/>
      <c r="B78" s="18"/>
      <c r="C78" s="18"/>
      <c r="D78" s="7"/>
    </row>
    <row r="79" spans="1:5" x14ac:dyDescent="0.3">
      <c r="A79" s="18"/>
      <c r="B79" s="16"/>
      <c r="C79" s="16"/>
      <c r="D79" s="7"/>
    </row>
    <row r="80" spans="1:5" x14ac:dyDescent="0.3">
      <c r="A80" s="18"/>
      <c r="B80" s="18"/>
      <c r="C80" s="18"/>
      <c r="D80" s="7"/>
    </row>
    <row r="81" spans="1:10" x14ac:dyDescent="0.3">
      <c r="A81" s="18"/>
      <c r="B81" s="18"/>
      <c r="C81" s="18"/>
      <c r="D81" s="7"/>
    </row>
    <row r="82" spans="1:10" x14ac:dyDescent="0.3">
      <c r="A82" s="18"/>
      <c r="B82" s="18"/>
      <c r="C82" s="18"/>
      <c r="D82" s="7"/>
    </row>
    <row r="83" spans="1:10" x14ac:dyDescent="0.3">
      <c r="A83" s="18"/>
      <c r="B83" s="18"/>
      <c r="C83" s="18"/>
      <c r="D83" s="7"/>
      <c r="G83" s="16"/>
      <c r="H83" s="16"/>
      <c r="I83" s="16"/>
      <c r="J83" s="16"/>
    </row>
    <row r="84" spans="1:10" x14ac:dyDescent="0.3">
      <c r="A84" s="18"/>
      <c r="B84" s="18"/>
      <c r="C84" s="18"/>
      <c r="D84" s="7"/>
      <c r="G84" s="16"/>
      <c r="H84" s="20"/>
      <c r="I84" s="20"/>
      <c r="J84" s="16"/>
    </row>
    <row r="85" spans="1:10" x14ac:dyDescent="0.3">
      <c r="A85" s="18"/>
      <c r="B85" s="18"/>
      <c r="C85" s="18"/>
      <c r="D85" s="7"/>
      <c r="G85" s="16"/>
      <c r="H85" s="20"/>
      <c r="I85" s="20"/>
      <c r="J85" s="16"/>
    </row>
    <row r="86" spans="1:10" x14ac:dyDescent="0.3">
      <c r="A86" s="18"/>
      <c r="B86" s="18"/>
      <c r="C86" s="18"/>
      <c r="D86" s="7"/>
      <c r="G86" s="16"/>
      <c r="H86" s="16"/>
      <c r="I86" s="16"/>
      <c r="J86" s="16"/>
    </row>
    <row r="87" spans="1:10" x14ac:dyDescent="0.3">
      <c r="A87" s="18"/>
      <c r="B87" s="18"/>
      <c r="C87" s="18"/>
      <c r="D87" s="7"/>
      <c r="G87" s="16"/>
      <c r="H87" s="16"/>
      <c r="I87" s="16"/>
      <c r="J87" s="16"/>
    </row>
    <row r="88" spans="1:10" x14ac:dyDescent="0.3">
      <c r="A88" s="18"/>
      <c r="B88" s="18"/>
      <c r="C88" s="18"/>
      <c r="D88" s="7"/>
      <c r="G88" s="16"/>
      <c r="H88" s="16"/>
      <c r="I88" s="16"/>
      <c r="J88" s="16"/>
    </row>
    <row r="89" spans="1:10" x14ac:dyDescent="0.3">
      <c r="A89" s="18"/>
      <c r="B89" s="18"/>
      <c r="C89" s="18"/>
      <c r="D89" s="7"/>
      <c r="G89" s="16"/>
      <c r="H89" s="16"/>
      <c r="I89" s="16"/>
      <c r="J89" s="16"/>
    </row>
    <row r="90" spans="1:10" x14ac:dyDescent="0.3">
      <c r="A90" s="18"/>
      <c r="B90" s="18"/>
      <c r="C90" s="18"/>
      <c r="D90" s="7"/>
      <c r="G90" s="16"/>
      <c r="H90" s="16"/>
      <c r="I90" s="16"/>
      <c r="J90" s="16"/>
    </row>
    <row r="91" spans="1:10" x14ac:dyDescent="0.3">
      <c r="A91" s="18"/>
      <c r="B91" s="18"/>
      <c r="C91" s="18"/>
      <c r="D91" s="7"/>
      <c r="G91" s="16"/>
      <c r="H91" s="16"/>
      <c r="I91" s="16"/>
      <c r="J91" s="16"/>
    </row>
    <row r="92" spans="1:10" x14ac:dyDescent="0.3">
      <c r="A92" s="18"/>
      <c r="B92" s="18"/>
      <c r="C92" s="18"/>
      <c r="D92" s="7"/>
      <c r="G92" s="16"/>
      <c r="H92" s="16"/>
      <c r="I92" s="16"/>
      <c r="J92" s="16"/>
    </row>
    <row r="93" spans="1:10" x14ac:dyDescent="0.3">
      <c r="A93" s="18"/>
      <c r="B93" s="18"/>
      <c r="C93" s="18"/>
      <c r="D93" s="7"/>
      <c r="G93" s="16"/>
      <c r="H93" s="16"/>
      <c r="I93" s="16"/>
      <c r="J93" s="16"/>
    </row>
    <row r="94" spans="1:10" x14ac:dyDescent="0.3">
      <c r="A94" s="18"/>
      <c r="B94" s="18"/>
      <c r="C94" s="18"/>
      <c r="D94" s="7"/>
      <c r="G94" s="16"/>
      <c r="H94" s="16"/>
      <c r="I94" s="16"/>
      <c r="J94" s="16"/>
    </row>
    <row r="95" spans="1:10" x14ac:dyDescent="0.3">
      <c r="A95" s="18"/>
      <c r="B95" s="18"/>
      <c r="C95" s="18"/>
      <c r="D95" s="7"/>
      <c r="G95" s="16"/>
      <c r="H95" s="16"/>
      <c r="I95" s="16"/>
      <c r="J95" s="16"/>
    </row>
    <row r="96" spans="1:10" x14ac:dyDescent="0.3">
      <c r="A96" s="18"/>
      <c r="B96" s="18"/>
      <c r="C96" s="18"/>
      <c r="D96" s="7"/>
      <c r="G96" s="16"/>
      <c r="H96" s="16"/>
      <c r="I96" s="16"/>
      <c r="J96" s="16"/>
    </row>
    <row r="97" spans="1:10" x14ac:dyDescent="0.3">
      <c r="A97" s="18"/>
      <c r="B97" s="18"/>
      <c r="C97" s="18"/>
      <c r="D97" s="7"/>
      <c r="G97" s="16"/>
      <c r="H97" s="16"/>
      <c r="I97" s="16"/>
      <c r="J97" s="16"/>
    </row>
    <row r="98" spans="1:10" x14ac:dyDescent="0.3">
      <c r="A98" s="18"/>
      <c r="B98" s="18"/>
      <c r="C98" s="18"/>
      <c r="D98" s="7"/>
      <c r="G98" s="16"/>
      <c r="H98" s="16"/>
      <c r="I98" s="16"/>
      <c r="J98" s="16"/>
    </row>
    <row r="99" spans="1:10" x14ac:dyDescent="0.3">
      <c r="A99" s="18"/>
      <c r="B99" s="18"/>
      <c r="C99" s="18"/>
      <c r="D99" s="7"/>
    </row>
    <row r="100" spans="1:10" x14ac:dyDescent="0.3">
      <c r="A100" s="18"/>
      <c r="B100" s="18"/>
      <c r="C100" s="18"/>
      <c r="D100" s="7"/>
    </row>
    <row r="101" spans="1:10" x14ac:dyDescent="0.3">
      <c r="A101" s="18"/>
      <c r="B101" s="18"/>
      <c r="C101" s="18"/>
      <c r="D101" s="7"/>
    </row>
    <row r="102" spans="1:10" x14ac:dyDescent="0.3">
      <c r="A102" s="18"/>
      <c r="B102" s="18"/>
      <c r="C102" s="18"/>
      <c r="D102" s="7"/>
    </row>
    <row r="103" spans="1:10" x14ac:dyDescent="0.3">
      <c r="A103" s="7"/>
      <c r="B103" s="7"/>
      <c r="C103" s="7"/>
      <c r="D103" s="7"/>
    </row>
    <row r="104" spans="1:10" x14ac:dyDescent="0.3">
      <c r="A104" s="7"/>
      <c r="B104" s="7"/>
      <c r="C104" s="7"/>
      <c r="D104" s="7"/>
    </row>
    <row r="105" spans="1:10" x14ac:dyDescent="0.3">
      <c r="A105" s="7"/>
      <c r="B105" s="7"/>
      <c r="C105" s="7"/>
      <c r="D105" s="7"/>
    </row>
    <row r="106" spans="1:10" x14ac:dyDescent="0.3">
      <c r="A106" s="7"/>
      <c r="B106" s="7"/>
      <c r="C106" s="7"/>
      <c r="D106" s="7"/>
    </row>
    <row r="107" spans="1:10" x14ac:dyDescent="0.3">
      <c r="A107" s="7"/>
      <c r="B107" s="7"/>
      <c r="C107" s="7"/>
      <c r="D107" s="7"/>
    </row>
    <row r="108" spans="1:10" x14ac:dyDescent="0.3">
      <c r="A108" s="7"/>
      <c r="B108" s="7"/>
      <c r="C108" s="7"/>
      <c r="D108" s="7"/>
    </row>
    <row r="109" spans="1:10" x14ac:dyDescent="0.3">
      <c r="A109" s="7"/>
      <c r="B109" s="7"/>
      <c r="C109" s="7"/>
      <c r="D109" s="7"/>
    </row>
    <row r="110" spans="1:10" x14ac:dyDescent="0.3">
      <c r="A110" s="7"/>
      <c r="B110" s="7"/>
      <c r="C110" s="7"/>
      <c r="D110" s="7"/>
    </row>
    <row r="111" spans="1:10" x14ac:dyDescent="0.3">
      <c r="A111" s="7"/>
      <c r="B111" s="7"/>
      <c r="C111" s="7"/>
      <c r="D111" s="7"/>
    </row>
    <row r="112" spans="1:10" x14ac:dyDescent="0.3">
      <c r="A112" s="7"/>
      <c r="B112" s="7"/>
      <c r="C112" s="7"/>
      <c r="D112" s="7"/>
    </row>
    <row r="113" spans="1:4" x14ac:dyDescent="0.3">
      <c r="A113" s="7"/>
      <c r="B113" s="7"/>
      <c r="C113" s="7"/>
      <c r="D113" s="7"/>
    </row>
    <row r="114" spans="1:4" x14ac:dyDescent="0.3">
      <c r="A114" s="7"/>
      <c r="B114" s="7"/>
      <c r="C114" s="7"/>
      <c r="D114" s="7"/>
    </row>
    <row r="115" spans="1:4" x14ac:dyDescent="0.3">
      <c r="A115" s="7"/>
      <c r="B115" s="7"/>
      <c r="C115" s="7"/>
      <c r="D115" s="7"/>
    </row>
  </sheetData>
  <mergeCells count="2">
    <mergeCell ref="A1:D1"/>
    <mergeCell ref="A77:C77"/>
  </mergeCells>
  <pageMargins left="0.75" right="0.75" top="1" bottom="1" header="0.5" footer="0.5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III P&amp;L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Mishra</cp:lastModifiedBy>
  <dcterms:created xsi:type="dcterms:W3CDTF">2026-02-12T05:43:47Z</dcterms:created>
  <dcterms:modified xsi:type="dcterms:W3CDTF">2026-02-18T13:47:19Z</dcterms:modified>
</cp:coreProperties>
</file>